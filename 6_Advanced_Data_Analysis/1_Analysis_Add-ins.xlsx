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6_Advanced_Data_Analysis\"/>
    </mc:Choice>
  </mc:AlternateContent>
  <xr:revisionPtr revIDLastSave="0" documentId="13_ncr:1_{152E5538-9E31-473F-80FF-42B668E61BD0}" xr6:coauthVersionLast="47" xr6:coauthVersionMax="47" xr10:uidLastSave="{00000000-0000-0000-0000-000000000000}"/>
  <bookViews>
    <workbookView xWindow="-108" yWindow="-108" windowWidth="23256" windowHeight="13176" firstSheet="3" activeTab="7" xr2:uid="{6C37AC85-509F-4D10-9DB1-F70D16D6FBAB}"/>
  </bookViews>
  <sheets>
    <sheet name="Sheet2" sheetId="17" r:id="rId1"/>
    <sheet name="Forecast_Original" sheetId="7" r:id="rId2"/>
    <sheet name="Forecast_Final" sheetId="8" state="hidden" r:id="rId3"/>
    <sheet name="Scenario Summary 2" sheetId="19" r:id="rId4"/>
    <sheet name="Answer Report 1" sheetId="20" r:id="rId5"/>
    <sheet name="Sensitivity Report 1" sheetId="21" r:id="rId6"/>
    <sheet name="Limits Report 1" sheetId="22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9" i="17" l="1"/>
  <c r="C377" i="17"/>
  <c r="C385" i="17"/>
  <c r="C393" i="17"/>
  <c r="C401" i="17"/>
  <c r="C409" i="17"/>
  <c r="C417" i="17"/>
  <c r="C425" i="17"/>
  <c r="C370" i="17"/>
  <c r="C378" i="17"/>
  <c r="C386" i="17"/>
  <c r="C394" i="17"/>
  <c r="C402" i="17"/>
  <c r="C410" i="17"/>
  <c r="C418" i="17"/>
  <c r="C426" i="17"/>
  <c r="C371" i="17"/>
  <c r="C379" i="17"/>
  <c r="C387" i="17"/>
  <c r="C395" i="17"/>
  <c r="C403" i="17"/>
  <c r="C411" i="17"/>
  <c r="C419" i="17"/>
  <c r="C427" i="17"/>
  <c r="C392" i="17"/>
  <c r="C372" i="17"/>
  <c r="C380" i="17"/>
  <c r="C388" i="17"/>
  <c r="C396" i="17"/>
  <c r="C404" i="17"/>
  <c r="C412" i="17"/>
  <c r="C420" i="17"/>
  <c r="C383" i="17"/>
  <c r="C407" i="17"/>
  <c r="C384" i="17"/>
  <c r="C408" i="17"/>
  <c r="C373" i="17"/>
  <c r="C381" i="17"/>
  <c r="C389" i="17"/>
  <c r="C397" i="17"/>
  <c r="C405" i="17"/>
  <c r="C413" i="17"/>
  <c r="C421" i="17"/>
  <c r="C367" i="17"/>
  <c r="C391" i="17"/>
  <c r="C415" i="17"/>
  <c r="C368" i="17"/>
  <c r="C400" i="17"/>
  <c r="C424" i="17"/>
  <c r="C374" i="17"/>
  <c r="C382" i="17"/>
  <c r="C390" i="17"/>
  <c r="C398" i="17"/>
  <c r="C406" i="17"/>
  <c r="C414" i="17"/>
  <c r="C422" i="17"/>
  <c r="C375" i="17"/>
  <c r="C399" i="17"/>
  <c r="C423" i="17"/>
  <c r="C376" i="17"/>
  <c r="C416" i="17"/>
  <c r="E416" i="17"/>
  <c r="E375" i="17"/>
  <c r="D398" i="17"/>
  <c r="E424" i="17"/>
  <c r="E391" i="17"/>
  <c r="D405" i="17"/>
  <c r="D373" i="17"/>
  <c r="E383" i="17"/>
  <c r="D396" i="17"/>
  <c r="E392" i="17"/>
  <c r="D403" i="17"/>
  <c r="D371" i="17"/>
  <c r="E402" i="17"/>
  <c r="E370" i="17"/>
  <c r="E401" i="17"/>
  <c r="E369" i="17"/>
  <c r="D369" i="17"/>
  <c r="E389" i="17"/>
  <c r="D374" i="17"/>
  <c r="E411" i="17"/>
  <c r="E406" i="17"/>
  <c r="E372" i="17"/>
  <c r="D416" i="17"/>
  <c r="D375" i="17"/>
  <c r="E398" i="17"/>
  <c r="D424" i="17"/>
  <c r="D391" i="17"/>
  <c r="E405" i="17"/>
  <c r="E373" i="17"/>
  <c r="D383" i="17"/>
  <c r="E396" i="17"/>
  <c r="D392" i="17"/>
  <c r="E403" i="17"/>
  <c r="E371" i="17"/>
  <c r="D402" i="17"/>
  <c r="D370" i="17"/>
  <c r="D401" i="17"/>
  <c r="E385" i="17"/>
  <c r="E419" i="17"/>
  <c r="D417" i="17"/>
  <c r="D381" i="17"/>
  <c r="E378" i="17"/>
  <c r="D415" i="17"/>
  <c r="D409" i="17"/>
  <c r="E376" i="17"/>
  <c r="D422" i="17"/>
  <c r="D390" i="17"/>
  <c r="E400" i="17"/>
  <c r="E367" i="17"/>
  <c r="D397" i="17"/>
  <c r="E408" i="17"/>
  <c r="D420" i="17"/>
  <c r="D388" i="17"/>
  <c r="E427" i="17"/>
  <c r="E395" i="17"/>
  <c r="E426" i="17"/>
  <c r="E394" i="17"/>
  <c r="E425" i="17"/>
  <c r="E393" i="17"/>
  <c r="E386" i="17"/>
  <c r="E387" i="17"/>
  <c r="D406" i="17"/>
  <c r="D404" i="17"/>
  <c r="E374" i="17"/>
  <c r="D407" i="17"/>
  <c r="D377" i="17"/>
  <c r="D376" i="17"/>
  <c r="E422" i="17"/>
  <c r="E390" i="17"/>
  <c r="D400" i="17"/>
  <c r="D367" i="17"/>
  <c r="E397" i="17"/>
  <c r="D408" i="17"/>
  <c r="E420" i="17"/>
  <c r="E388" i="17"/>
  <c r="D427" i="17"/>
  <c r="D395" i="17"/>
  <c r="D426" i="17"/>
  <c r="D394" i="17"/>
  <c r="D425" i="17"/>
  <c r="D393" i="17"/>
  <c r="E417" i="17"/>
  <c r="E380" i="17"/>
  <c r="D386" i="17"/>
  <c r="E415" i="17"/>
  <c r="D372" i="17"/>
  <c r="E377" i="17"/>
  <c r="E381" i="17"/>
  <c r="E404" i="17"/>
  <c r="D410" i="17"/>
  <c r="E423" i="17"/>
  <c r="D414" i="17"/>
  <c r="D382" i="17"/>
  <c r="E368" i="17"/>
  <c r="D421" i="17"/>
  <c r="D389" i="17"/>
  <c r="E384" i="17"/>
  <c r="D412" i="17"/>
  <c r="D380" i="17"/>
  <c r="D419" i="17"/>
  <c r="D387" i="17"/>
  <c r="E418" i="17"/>
  <c r="E412" i="17"/>
  <c r="D385" i="17"/>
  <c r="D413" i="17"/>
  <c r="E410" i="17"/>
  <c r="D399" i="17"/>
  <c r="D411" i="17"/>
  <c r="D423" i="17"/>
  <c r="E414" i="17"/>
  <c r="E382" i="17"/>
  <c r="D368" i="17"/>
  <c r="E421" i="17"/>
  <c r="D384" i="17"/>
  <c r="D418" i="17"/>
  <c r="E407" i="17"/>
  <c r="E379" i="17"/>
  <c r="E409" i="17"/>
  <c r="E413" i="17"/>
  <c r="D378" i="17"/>
  <c r="E399" i="17"/>
  <c r="D379" i="17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<sst xmlns="http://schemas.openxmlformats.org/spreadsheetml/2006/main" count="237" uniqueCount="92">
  <si>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</si>
  <si>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</si>
  <si>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</si>
  <si>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</si>
  <si>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</si>
  <si>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</si>
  <si>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</si>
  <si>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</si>
  <si>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</si>
  <si>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</si>
  <si>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</si>
  <si>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</si>
  <si>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</si>
  <si>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</si>
  <si>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</si>
  <si>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</si>
  <si>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</si>
  <si>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</si>
  <si>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</si>
  <si>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</si>
  <si>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</si>
  <si>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</si>
  <si>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</si>
  <si>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</si>
  <si>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</si>
  <si>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</si>
  <si>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</si>
  <si>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</si>
  <si>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</si>
  <si>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</si>
  <si>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</si>
  <si>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</si>
  <si>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</si>
  <si>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</si>
  <si>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</si>
  <si>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</si>
  <si>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</si>
  <si>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</si>
  <si>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</si>
  <si>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</si>
  <si>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</si>
  <si>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</si>
  <si>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</si>
  <si>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</si>
  <si>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</si>
  <si>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</si>
  <si>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</si>
  <si>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</si>
  <si>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</si>
  <si>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</si>
  <si>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</si>
  <si>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</si>
  <si>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</si>
  <si>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</si>
  <si>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</si>
  <si>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</si>
  <si>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</si>
  <si>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</si>
  <si>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</si>
  <si>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</si>
  <si>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</si>
  <si>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</si>
  <si>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</si>
  <si>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</si>
  <si>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</si>
  <si>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</si>
  <si>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</si>
  <si>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</si>
  <si>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</si>
  <si>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</si>
  <si>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</si>
  <si>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</si>
  <si>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</si>
  <si>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</si>
  <si>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</si>
  <si>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</si>
  <si>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</si>
  <si>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</si>
  <si>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</si>
  <si>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Rahim Wali on 3/29/2026</t>
  </si>
  <si>
    <t>job2</t>
  </si>
  <si>
    <t>job3</t>
  </si>
  <si>
    <t>Created by Rahim Wali on 3/29/2026
Modified by Rahim Wali on 3/29/2026</t>
  </si>
  <si>
    <t>Report Created: 3/29/2026 8:45:45 AM</t>
  </si>
  <si>
    <t>Solution Time: 0.016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</si>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</sst>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4-48EA-A4D8-5A27EBB54CA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4-48EA-A4D8-5A27EBB54CAE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4-48EA-A4D8-5A27EBB54CAE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04-48EA-A4D8-5A27EBB5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702512"/>
        <c:axId val="1308703952"/>
      </c:lineChart>
      <c:catAx>
        <c:axId val="130870251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03952"/>
        <c:crosses val="autoZero"/>
        <c:auto val="1"/>
        <c:lblAlgn val="ctr"/>
        <c:lblOffset val="100"/>
        <c:noMultiLvlLbl val="0"/>
      </c:catAx>
      <c:valAx>
        <c:axId val="130870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2110740</xdr:colOff>
      <xdr:row>1</xdr:row>
      <xdr:rowOff>45720</xdr:rowOff>
    </xdr:from>
    <xdr:to>
      <xdr:col>18</xdr:col>
      <xdr:colOff>99060</xdr:colOff>
      <xdr:row>27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EDA91-B7FB-D0B0-504A-1D41B0D48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D4836E-B7E6-4095-936B-03789C19D662}" name="Table3" displayName="Table3" ref="A1:E427" totalsRowShown="0">
  <autoFilter ref="A1:E427" xr:uid="{D2D4836E-B7E6-4095-936B-03789C19D662}"/>
  <tableColumns count="5">
    <tableColumn id="1" xr3:uid="{A4F06EAA-59E5-4968-8666-1EFB227816B1}" name="Date" dataDxfId="2"/>
    <tableColumn id="2" xr3:uid="{8D88F58C-1B84-44E8-8575-BD06A9895241}" name="Job Count"/>
    <tableColumn id="3" xr3:uid="{B00FB10F-2D6D-4F29-BC42-6341D5F50E9D}" name="Forecast(Job Count)">
      <calculatedColumnFormula>_xlfn.FORECAST.ETS(A2,$B$2:$B$366,$A$2:$A$366,1,1)</calculatedColumnFormula>
    </tableColumn>
    <tableColumn id="4" xr3:uid="{2B140F22-9B70-48B0-B871-E33932E2B9AA}" name="Lower Confidence Bound(Job Count)" dataDxfId="1">
      <calculatedColumnFormula>C2-_xlfn.FORECAST.ETS.CONFINT(A2,$B$2:$B$366,$A$2:$A$366,0.95,1,1)</calculatedColumnFormula>
    </tableColumn>
    <tableColumn id="5" xr3:uid="{2848D360-30A0-4E3B-81F7-B9BFC71650A5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8BCA-E1E6-4575-BF31-AB4CC0EBEBE0}">
  <dimension ref="A1:E427"/>
  <sheetViews>
    <sheetView topLeftCell="D1" workbookViewId="0">
      <selection activeCell="V12" sqref="V12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284D-7C64-4307-B5FC-C0DCFF9BADC1}">
  <sheetPr>
    <outlinePr summaryBelow="0"/>
  </sheetPr>
  <dimension ref="B1:G18"/>
  <sheetViews>
    <sheetView showGridLines="0" workbookViewId="0"/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43.2" hidden="1" outlineLevel="1" x14ac:dyDescent="0.3">
      <c r="B4" s="73"/>
      <c r="C4" s="73"/>
      <c r="D4" s="67"/>
      <c r="E4" s="77" t="s">
        <v>82</v>
      </c>
      <c r="F4" s="77" t="s">
        <v>79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15DB-AE36-4C83-B790-24F390E93E5A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83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84</v>
      </c>
    </row>
    <row r="8" spans="1:5" hidden="1" outlineLevel="1" x14ac:dyDescent="0.3">
      <c r="A8" s="7"/>
      <c r="B8" t="s">
        <v>85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599999.99990000005</v>
      </c>
      <c r="E16" s="81">
        <v>639999.95109999995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2C00-7679-45CA-BDBC-09A308A2A634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86</v>
      </c>
    </row>
    <row r="2" spans="1:5" x14ac:dyDescent="0.3">
      <c r="A2" s="7" t="s">
        <v>38</v>
      </c>
    </row>
    <row r="3" spans="1:5" x14ac:dyDescent="0.3">
      <c r="A3" s="7" t="s">
        <v>83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87</v>
      </c>
      <c r="E7" s="84" t="s">
        <v>88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89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87</v>
      </c>
      <c r="E13" s="84" t="s">
        <v>90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91</v>
      </c>
    </row>
    <row r="15" spans="1:5" ht="15" thickBot="1" x14ac:dyDescent="0.35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83EA-FE05-4D0F-BE03-0F485DF50773}">
  <dimension ref="A1:J14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4.33203125" bestFit="1" customWidth="1"/>
    <col min="3" max="3" width="8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83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639999.95109999995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F14" sqref="F14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0.226693026881682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53687091.200000003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122669.3026881682</v>
      </c>
    </row>
    <row r="10" spans="2:8" x14ac:dyDescent="0.3">
      <c r="B10" s="4">
        <v>1</v>
      </c>
      <c r="C10" s="2">
        <f>(base*(1+raise)^B10)*(1+bonus)</f>
        <v>6585758163529.3945</v>
      </c>
    </row>
    <row r="11" spans="2:8" x14ac:dyDescent="0.3">
      <c r="B11" s="4">
        <v>2</v>
      </c>
      <c r="C11" s="2">
        <f>(base*(1+raise)^B11)*(1+bonus)</f>
        <v>3.5357020573230531E+20</v>
      </c>
    </row>
    <row r="12" spans="2:8" x14ac:dyDescent="0.3">
      <c r="B12" s="4">
        <v>3</v>
      </c>
      <c r="C12" s="2">
        <f>(base*(1+raise)^B12)*(1+bonus)</f>
        <v>1.8982156234323243E+28</v>
      </c>
    </row>
    <row r="13" spans="2:8" ht="15" thickBot="1" x14ac:dyDescent="0.35">
      <c r="B13" s="36">
        <v>4</v>
      </c>
      <c r="C13" s="37">
        <f>(base*(1+raise)^B13)*(1+bonus)</f>
        <v>1.0190967719069169E+36</v>
      </c>
    </row>
    <row r="14" spans="2:8" ht="15.6" thickTop="1" thickBot="1" x14ac:dyDescent="0.35">
      <c r="B14" s="34" t="s">
        <v>3</v>
      </c>
      <c r="C14" s="35">
        <f>SUM(C9:C13)</f>
        <v>1.0190967908890734E+36</v>
      </c>
    </row>
  </sheetData>
  <scenarios current="0" show="0" sqref="C9:C14">
    <scenario name="job1" locked="1" count="3" user="Rahim Wali" comment="Created by Rahim Wali on 3/29/2026_x000a_Modified by Rahim Wali on 3/29/2026">
      <inputCells r="C3" val="100000" numFmtId="164"/>
      <inputCells r="C4" val="0.1" numFmtId="9"/>
      <inputCells r="C5" val="0.015" numFmtId="165"/>
    </scenario>
    <scenario name="job2" locked="1" count="3" user="Rahim Wali" comment="Created by Rahim Wali on 3/29/2026">
      <inputCells r="C3" val="80000" numFmtId="164"/>
      <inputCells r="C4" val="0.15" numFmtId="9"/>
      <inputCells r="C5" val="0.012" numFmtId="165"/>
    </scenario>
    <scenario name="job3" locked="1" count="3" user="Rahim Wali" comment="Created by Rahim Wali on 3/29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Sheet2</vt:lpstr>
      <vt:lpstr>Forecast_Original</vt:lpstr>
      <vt:lpstr>Forecast_Final</vt:lpstr>
      <vt:lpstr>Scenario Summary 2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2024-08-08T18:34:47Z</dcterms:created>
  <dcterms:modified xsi:type="dcterms:W3CDTF">2026-03-29T12:48:02Z</dcterms:modified>
</cp:coreProperties>
</file>